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Latihan excel\"/>
    </mc:Choice>
  </mc:AlternateContent>
  <xr:revisionPtr revIDLastSave="0" documentId="13_ncr:1_{B5572D25-88DE-4604-83AF-238CED1EF8E4}" xr6:coauthVersionLast="47" xr6:coauthVersionMax="47" xr10:uidLastSave="{00000000-0000-0000-0000-000000000000}"/>
  <bookViews>
    <workbookView xWindow="-108" yWindow="-108" windowWidth="23256" windowHeight="12456" xr2:uid="{271E1B75-7B0F-4200-BAA7-343EB6A2F28B}"/>
  </bookViews>
  <sheets>
    <sheet name="Dashboard" sheetId="4" r:id="rId1"/>
    <sheet name="Data Penjualan" sheetId="1" r:id="rId2"/>
    <sheet name="Analisi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B19" i="3"/>
  <c r="B17" i="3"/>
  <c r="B16" i="3"/>
  <c r="C12" i="3"/>
  <c r="C11" i="3"/>
  <c r="B12" i="3"/>
  <c r="B11" i="3"/>
  <c r="B7" i="3"/>
  <c r="B6" i="3"/>
  <c r="B5" i="3"/>
  <c r="B4" i="3"/>
  <c r="B3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<sst xmlns="http://schemas.openxmlformats.org/spreadsheetml/2006/main" count="124" uniqueCount="71">
  <si>
    <t>Order ID</t>
  </si>
  <si>
    <t>Produk</t>
  </si>
  <si>
    <t>Kategori</t>
  </si>
  <si>
    <t>Jumlah</t>
  </si>
  <si>
    <t>Harga Satuan</t>
  </si>
  <si>
    <t>Kota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</si>
  <si>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</si>
  <si>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</si>
  <si>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</si>
  <si>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</si>
  <si>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</si>
  <si>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</si>
  <si>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</si>
  <si>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</si>
  <si>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</si>
  <si>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</si>
  <si>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</si>
  <si>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</si>
  <si>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</si>
  <si>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</si>
  <si>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</si>
  <si>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</si>
  <si>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</si>
  <si>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</si>
  <si>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</si>
  <si>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</si>
  <si>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Sepatu Olahraga</t>
  </si>
  <si>
    <t>Laptop Stand</t>
  </si>
  <si>
    <t>Baju Kaos</t>
  </si>
  <si>
    <t>Mouse Wireless</t>
  </si>
  <si>
    <t>Tas Ransel</t>
  </si>
  <si>
    <t>Earphone</t>
  </si>
  <si>
    <t>Celana Jeans</t>
  </si>
  <si>
    <t>Keyboard</t>
  </si>
  <si>
    <t>Sandal</t>
  </si>
  <si>
    <t>Webcam</t>
  </si>
  <si>
    <t>Kemeja</t>
  </si>
  <si>
    <t>Headset</t>
  </si>
  <si>
    <t>Jaket</t>
  </si>
  <si>
    <t>Flash Drive</t>
  </si>
  <si>
    <t>Rok</t>
  </si>
  <si>
    <t>Monitor</t>
  </si>
  <si>
    <t>Dompet</t>
  </si>
  <si>
    <t>Charger</t>
  </si>
  <si>
    <t>Topi</t>
  </si>
  <si>
    <t>Speaker</t>
  </si>
  <si>
    <t>Fashion</t>
  </si>
  <si>
    <t>Elektronik</t>
  </si>
  <si>
    <t>Jakarta</t>
  </si>
  <si>
    <t>Bandung</t>
  </si>
  <si>
    <t>Surabaya</t>
  </si>
  <si>
    <t>Medan</t>
  </si>
  <si>
    <t>Total Penjualan</t>
  </si>
  <si>
    <t>RINGKASAN PENJUALAN E-COMMERCE</t>
  </si>
  <si>
    <t>Total Pendapatan</t>
  </si>
  <si>
    <t>Total Transaksi</t>
  </si>
  <si>
    <t>Rata-rata Transaksi</t>
  </si>
  <si>
    <t>Transaksi Tertinggi</t>
  </si>
  <si>
    <t>Transaksi Terendah</t>
  </si>
  <si>
    <t>ANALISIS PER KATEGORI</t>
  </si>
  <si>
    <t>Jumlah Transaksi</t>
  </si>
  <si>
    <t>ANALISIS PER KOTA</t>
  </si>
  <si>
    <t>Row Labels</t>
  </si>
  <si>
    <t>Grand Total</t>
  </si>
  <si>
    <t>Sum of Total Penjualan</t>
  </si>
  <si>
    <t>E-COMMERCE SALES DASHBOARD 2025</t>
  </si>
  <si>
    <t>KEY INSIGHTS:</t>
  </si>
  <si>
    <t>1. Jakarta adalah kota dengan penjualan tertinggi (Rp 5.415.000)</t>
  </si>
  <si>
    <t>2. Kategori Fashion lebih unggul dari Elektronik (Rp 6.920.000 vs Rp 5.880.000)</t>
  </si>
  <si>
    <t>3. Total pendapatan keseluruhan mencapai Rp 12.800.000 dari 20 transaksi</t>
  </si>
  <si>
    <t>4. Produk dengan transaksi tertinggi adalah Monitor (Rp 1.850.000)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</si>
</sst>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Rp-421]* #,##0.00_-;\-[$Rp-421]* #,##0.00_-;_-[$Rp-421]* &quot;-&quot;??_-;_-@_-"/>
    <numFmt numFmtId="165" formatCode="_-[$Rp-421]* #,##0_-;\-[$Rp-421]* #,##0_-;_-[$Rp-421]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 E-Commerce Analysis.xlsx]Dashboard!PivotTable1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Penjualan</a:t>
            </a:r>
            <a:r>
              <a:rPr lang="en-US" baseline="0"/>
              <a:t> per kota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Dashboard!$A$4:$A$8</c:f>
              <c:strCache>
                <c:ptCount val="4"/>
                <c:pt idx="0">
                  <c:v>Bandung</c:v>
                </c:pt>
                <c:pt idx="1">
                  <c:v>Jakarta</c:v>
                </c:pt>
                <c:pt idx="2">
                  <c:v>Medan</c:v>
                </c:pt>
                <c:pt idx="3">
                  <c:v>Surabaya</c:v>
                </c:pt>
              </c:strCache>
            </c:strRef>
          </c:cat>
          <c:val>
            <c:numRef>
              <c:f>Dashboard!$B$4:$B$8</c:f>
              <c:numCache>
                <c:formatCode>_-[$Rp-421]* #,##0_-;\-[$Rp-421]* #,##0_-;_-[$Rp-421]* "-"_-;_-@_-</c:formatCode>
                <c:ptCount val="4"/>
                <c:pt idx="0">
                  <c:v>2205000</c:v>
                </c:pt>
                <c:pt idx="1">
                  <c:v>5415000</c:v>
                </c:pt>
                <c:pt idx="2">
                  <c:v>2895000</c:v>
                </c:pt>
                <c:pt idx="3">
                  <c:v>2285000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B-4060-AF6D-278423AAF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578943"/>
        <c:axId val="607596223"/>
      </c:barChart>
      <c:catAx>
        <c:axId val="60757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07596223"/>
        <c:crosses val="autoZero"/>
        <c:auto val="1"/>
        <c:lblAlgn val="ctr"/>
        <c:lblOffset val="100"/>
        <c:noMultiLvlLbl val="0"/>
      </c:catAx>
      <c:valAx>
        <c:axId val="60759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_-;\-[$Rp-421]* #,##0_-;_-[$Rp-421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075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E-Commerce Analysis.xlsx]Dashboard!PivotTable2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Penjualan</a:t>
            </a:r>
            <a:r>
              <a:rPr lang="en-US" baseline="0"/>
              <a:t> per kategori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Dashboard!$A$12:$A$14</c:f>
              <c:strCache>
                <c:ptCount val="2"/>
                <c:pt idx="0">
                  <c:v>Elektronik</c:v>
                </c:pt>
                <c:pt idx="1">
                  <c:v>Fashion</c:v>
                </c:pt>
              </c:strCache>
            </c:strRef>
          </c:cat>
          <c:val>
            <c:numRef>
              <c:f>Dashboard!$B$12:$B$14</c:f>
              <c:numCache>
                <c:formatCode>_-[$Rp-421]* #,##0_-;\-[$Rp-421]* #,##0_-;_-[$Rp-421]* "-"_-;_-@_-</c:formatCode>
                <c:ptCount val="2"/>
                <c:pt idx="0">
                  <c:v>5880000</c:v>
                </c:pt>
                <c:pt idx="1">
                  <c:v>6920000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9-43D4-86A8-15CDD3EDB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441663"/>
        <c:axId val="2017429183"/>
      </c:barChart>
      <c:catAx>
        <c:axId val="201744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17429183"/>
        <c:crosses val="autoZero"/>
        <c:auto val="1"/>
        <c:lblAlgn val="ctr"/>
        <c:lblOffset val="100"/>
        <c:noMultiLvlLbl val="0"/>
      </c:catAx>
      <c:valAx>
        <c:axId val="201742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_-;\-[$Rp-421]* #,##0_-;_-[$Rp-421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1744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560614</xdr:colOff>
      <xdr:row>2</xdr:row>
      <xdr:rowOff>4355</xdr:rowOff>
    </xdr:from>
    <xdr:to>
      <xdr:col>12</xdr:col>
      <xdr:colOff>255814</xdr:colOff>
      <xdr:row>17</xdr:row>
      <xdr:rowOff>4355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82961-822B-3A44-9DB0-2B740B1E6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545375</xdr:colOff>
      <xdr:row>1</xdr:row>
      <xdr:rowOff>171450</xdr:rowOff>
    </xdr:from>
    <xdr:to>
      <xdr:col>21</xdr:col>
      <xdr:colOff>240575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C73791-B8DE-5C43-6B98-990428F02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ma" refreshedDate="46139.899738541666" createdVersion="8" refreshedVersion="8" minRefreshableVersion="3" recordCount="20" xr:uid="{4E23DE09-2AC8-4C15-AF74-044CCB04EF56}">
  <cacheSource type="worksheet">
    <worksheetSource ref="A1:G21" sheet="Data Penjualan"/>
  </cacheSource>
  <cacheFields count="7">
    <cacheField name="Order ID" numFmtId="49">
      <sharedItems/>
    </cacheField>
    <cacheField name="Produk" numFmtId="0">
      <sharedItems/>
    </cacheField>
    <cacheField name="Kategori" numFmtId="0">
      <sharedItems count="2">
        <s v="Fashion"/>
        <s v="Elektronik"/>
      </sharedItems>
    </cacheField>
    <cacheField name="Jumlah" numFmtId="0">
      <sharedItems containsSemiMixedTypes="0" containsString="0" containsNumber="1" containsInteger="1" minValue="1" maxValue="6"/>
    </cacheField>
    <cacheField name="Harga Satuan" numFmtId="165">
      <sharedItems containsSemiMixedTypes="0" containsString="0" containsNumber="1" containsInteger="1" minValue="65000" maxValue="1850000"/>
    </cacheField>
    <cacheField name="Kota" numFmtId="0">
      <sharedItems count="4">
        <s v="Jakarta"/>
        <s v="Bandung"/>
        <s v="Surabaya"/>
        <s v="Medan"/>
      </sharedItems>
    </cacheField>
    <cacheField name="Total Penjualan" numFmtId="165">
      <sharedItems containsSemiMixedTypes="0" containsString="0" containsNumber="1" containsInteger="1" minValue="250000" maxValue="18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001"/>
    <s v="Sepatu Olahraga"/>
    <x v="0"/>
    <n v="3"/>
    <n v="350000"/>
    <x v="0"/>
    <n v="1050000"/>
  </r>
  <r>
    <s v="002"/>
    <s v="Laptop Stand"/>
    <x v="1"/>
    <n v="1"/>
    <n v="250000"/>
    <x v="1"/>
    <n v="250000"/>
  </r>
  <r>
    <s v="003"/>
    <s v="Baju Kaos"/>
    <x v="0"/>
    <n v="5"/>
    <n v="85000"/>
    <x v="2"/>
    <n v="425000"/>
  </r>
  <r>
    <s v="004"/>
    <s v="Mouse Wireless"/>
    <x v="1"/>
    <n v="2"/>
    <n v="175000"/>
    <x v="0"/>
    <n v="350000"/>
  </r>
  <r>
    <s v="005"/>
    <s v="Tas Ransel"/>
    <x v="0"/>
    <n v="2"/>
    <n v="450000"/>
    <x v="3"/>
    <n v="900000"/>
  </r>
  <r>
    <s v="006"/>
    <s v="Earphone"/>
    <x v="1"/>
    <n v="3"/>
    <n v="120000"/>
    <x v="0"/>
    <n v="360000"/>
  </r>
  <r>
    <s v="007"/>
    <s v="Celana Jeans"/>
    <x v="0"/>
    <n v="4"/>
    <n v="295000"/>
    <x v="1"/>
    <n v="1180000"/>
  </r>
  <r>
    <s v="008"/>
    <s v="Keyboard"/>
    <x v="1"/>
    <n v="1"/>
    <n v="385000"/>
    <x v="2"/>
    <n v="385000"/>
  </r>
  <r>
    <s v="009"/>
    <s v="Sandal"/>
    <x v="0"/>
    <n v="6"/>
    <n v="75000"/>
    <x v="0"/>
    <n v="450000"/>
  </r>
  <r>
    <s v="010"/>
    <s v="Webcam"/>
    <x v="1"/>
    <n v="2"/>
    <n v="320000"/>
    <x v="3"/>
    <n v="640000"/>
  </r>
  <r>
    <s v="011"/>
    <s v="Kemeja"/>
    <x v="0"/>
    <n v="3"/>
    <n v="185000"/>
    <x v="0"/>
    <n v="555000"/>
  </r>
  <r>
    <s v="012"/>
    <s v="Headset"/>
    <x v="1"/>
    <n v="1"/>
    <n v="275000"/>
    <x v="1"/>
    <n v="275000"/>
  </r>
  <r>
    <s v="013"/>
    <s v="Jaket"/>
    <x v="0"/>
    <n v="2"/>
    <n v="520000"/>
    <x v="2"/>
    <n v="1040000"/>
  </r>
  <r>
    <s v="014"/>
    <s v="Flash Drive"/>
    <x v="1"/>
    <n v="5"/>
    <n v="95000"/>
    <x v="0"/>
    <n v="475000"/>
  </r>
  <r>
    <s v="015"/>
    <s v="Rok"/>
    <x v="0"/>
    <n v="3"/>
    <n v="165000"/>
    <x v="3"/>
    <n v="495000"/>
  </r>
  <r>
    <s v="016"/>
    <s v="Monitor"/>
    <x v="1"/>
    <n v="1"/>
    <n v="1850000"/>
    <x v="0"/>
    <n v="1850000"/>
  </r>
  <r>
    <s v="017"/>
    <s v="Dompet"/>
    <x v="0"/>
    <n v="4"/>
    <n v="125000"/>
    <x v="1"/>
    <n v="500000"/>
  </r>
  <r>
    <s v="018"/>
    <s v="Charger"/>
    <x v="1"/>
    <n v="3"/>
    <n v="145000"/>
    <x v="2"/>
    <n v="435000"/>
  </r>
  <r>
    <s v="019"/>
    <s v="Topi"/>
    <x v="0"/>
    <n v="5"/>
    <n v="65000"/>
    <x v="0"/>
    <n v="325000"/>
  </r>
  <r>
    <s v="020"/>
    <s v="Speaker"/>
    <x v="1"/>
    <n v="2"/>
    <n v="430000"/>
    <x v="3"/>
    <n v="8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E88BE-8282-4832-8FD3-CA958C03BE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7">
    <pivotField showAll="0"/>
    <pivotField showAll="0"/>
    <pivotField showAll="0">
      <items count="3">
        <item x="1"/>
        <item x="0"/>
        <item t="default"/>
      </items>
    </pivotField>
    <pivotField showAll="0"/>
    <pivotField numFmtId="165" showAll="0"/>
    <pivotField axis="axisRow" showAll="0">
      <items count="5">
        <item x="1"/>
        <item x="0"/>
        <item x="3"/>
        <item x="2"/>
        <item t="default"/>
      </items>
    </pivotField>
    <pivotField dataField="1" numFmtId="165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enjualan" fld="6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8FDA2-C62B-425B-A4A8-1A28C10787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1:B14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65" showAll="0"/>
    <pivotField showAll="0"/>
    <pivotField dataField="1" numFmtId="165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 Penjualan" fld="6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66D3-2E99-4110-ADAA-80CF2D11671A}">
  <dimension ref="A1:D29"/>
  <sheetViews>
    <sheetView tabSelected="1" zoomScale="70" zoomScaleNormal="70" workbookViewId="0">
      <selection activeCell="T20" sqref="T20"/>
    </sheetView>
  </sheetViews>
  <sheetFormatPr defaultRowHeight="14.4" x14ac:dyDescent="0.3"/>
  <cols>
    <col min="1" max="1" width="22.6640625" customWidth="1"/>
    <col min="2" max="2" width="20.77734375" bestFit="1" customWidth="1"/>
  </cols>
  <sheetData>
    <row r="1" spans="1:4" ht="21" x14ac:dyDescent="0.4">
      <c r="D1" s="8" t="s">
        <v>65</v>
      </c>
    </row>
    <row r="3" spans="1:4" x14ac:dyDescent="0.3">
      <c r="A3" s="6" t="s">
        <v>62</v>
      </c>
      <c r="B3" t="s">
        <v>64</v>
      </c>
    </row>
    <row r="4" spans="1:4" x14ac:dyDescent="0.3">
      <c r="A4" s="7" t="s">
        <v>49</v>
      </c>
      <c r="B4" s="4">
        <v>2205000</v>
      </c>
    </row>
    <row r="5" spans="1:4" x14ac:dyDescent="0.3">
      <c r="A5" s="7" t="s">
        <v>48</v>
      </c>
      <c r="B5" s="4">
        <v>5415000</v>
      </c>
    </row>
    <row r="6" spans="1:4" x14ac:dyDescent="0.3">
      <c r="A6" s="7" t="s">
        <v>51</v>
      </c>
      <c r="B6" s="4">
        <v>2895000</v>
      </c>
    </row>
    <row r="7" spans="1:4" x14ac:dyDescent="0.3">
      <c r="A7" s="7" t="s">
        <v>50</v>
      </c>
      <c r="B7" s="4">
        <v>2285000</v>
      </c>
    </row>
    <row r="8" spans="1:4" x14ac:dyDescent="0.3">
      <c r="A8" s="7" t="s">
        <v>63</v>
      </c>
      <c r="B8" s="4">
        <v>12800000</v>
      </c>
    </row>
    <row r="11" spans="1:4" x14ac:dyDescent="0.3">
      <c r="A11" s="6" t="s">
        <v>62</v>
      </c>
      <c r="B11" t="s">
        <v>64</v>
      </c>
    </row>
    <row r="12" spans="1:4" x14ac:dyDescent="0.3">
      <c r="A12" s="7" t="s">
        <v>47</v>
      </c>
      <c r="B12" s="4">
        <v>5880000</v>
      </c>
    </row>
    <row r="13" spans="1:4" x14ac:dyDescent="0.3">
      <c r="A13" s="7" t="s">
        <v>46</v>
      </c>
      <c r="B13" s="4">
        <v>6920000</v>
      </c>
    </row>
    <row r="14" spans="1:4" x14ac:dyDescent="0.3">
      <c r="A14" s="7" t="s">
        <v>63</v>
      </c>
      <c r="B14" s="4">
        <v>12800000</v>
      </c>
    </row>
    <row r="25" spans="1:1" ht="18" x14ac:dyDescent="0.35">
      <c r="A25" s="9" t="s">
        <v>66</v>
      </c>
    </row>
    <row r="26" spans="1:1" ht="18" x14ac:dyDescent="0.35">
      <c r="A26" s="9" t="s">
        <v>67</v>
      </c>
    </row>
    <row r="27" spans="1:1" ht="18" x14ac:dyDescent="0.35">
      <c r="A27" s="9" t="s">
        <v>68</v>
      </c>
    </row>
    <row r="28" spans="1:1" ht="18" x14ac:dyDescent="0.35">
      <c r="A28" s="9" t="s">
        <v>69</v>
      </c>
    </row>
    <row r="29" spans="1:1" ht="18" x14ac:dyDescent="0.35">
      <c r="A29" s="9" t="s">
        <v>70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BB48-188C-46BD-90D9-2F46596C5338}">
  <dimension ref="A1:G21"/>
  <sheetViews>
    <sheetView workbookViewId="0"/>
  </sheetViews>
  <sheetFormatPr defaultRowHeight="14.4" x14ac:dyDescent="0.3"/>
  <cols>
    <col min="1" max="1" width="10" style="1" customWidth="1"/>
    <col min="2" max="2" width="16.6640625" customWidth="1"/>
    <col min="3" max="3" width="11.77734375" customWidth="1"/>
    <col min="4" max="4" width="11.44140625" customWidth="1"/>
    <col min="5" max="5" width="14.88671875" style="2" customWidth="1"/>
    <col min="6" max="6" width="12.6640625" customWidth="1"/>
    <col min="7" max="7" width="16.5546875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52</v>
      </c>
    </row>
    <row r="2" spans="1:7" x14ac:dyDescent="0.3">
      <c r="A2" s="1" t="s">
        <v>6</v>
      </c>
      <c r="B2" t="s">
        <v>26</v>
      </c>
      <c r="C2" t="s">
        <v>46</v>
      </c>
      <c r="D2">
        <v>3</v>
      </c>
      <c r="E2" s="3">
        <v>350000</v>
      </c>
      <c r="F2" t="s">
        <v>48</v>
      </c>
      <c r="G2" s="4">
        <f>D2*E2</f>
        <v>1050000</v>
      </c>
    </row>
    <row r="3" spans="1:7" x14ac:dyDescent="0.3">
      <c r="A3" s="1" t="s">
        <v>7</v>
      </c>
      <c r="B3" t="s">
        <v>27</v>
      </c>
      <c r="C3" t="s">
        <v>47</v>
      </c>
      <c r="D3">
        <v>1</v>
      </c>
      <c r="E3" s="3">
        <v>250000</v>
      </c>
      <c r="F3" t="s">
        <v>49</v>
      </c>
      <c r="G3" s="4">
        <f t="shared" ref="G3:G21" si="0">D3*E3</f>
        <v>250000</v>
      </c>
    </row>
    <row r="4" spans="1:7" x14ac:dyDescent="0.3">
      <c r="A4" s="1" t="s">
        <v>8</v>
      </c>
      <c r="B4" t="s">
        <v>28</v>
      </c>
      <c r="C4" t="s">
        <v>46</v>
      </c>
      <c r="D4">
        <v>5</v>
      </c>
      <c r="E4" s="3">
        <v>85000</v>
      </c>
      <c r="F4" t="s">
        <v>50</v>
      </c>
      <c r="G4" s="4">
        <f t="shared" si="0"/>
        <v>425000</v>
      </c>
    </row>
    <row r="5" spans="1:7" x14ac:dyDescent="0.3">
      <c r="A5" s="1" t="s">
        <v>9</v>
      </c>
      <c r="B5" t="s">
        <v>29</v>
      </c>
      <c r="C5" t="s">
        <v>47</v>
      </c>
      <c r="D5">
        <v>2</v>
      </c>
      <c r="E5" s="3">
        <v>175000</v>
      </c>
      <c r="F5" t="s">
        <v>48</v>
      </c>
      <c r="G5" s="4">
        <f t="shared" si="0"/>
        <v>350000</v>
      </c>
    </row>
    <row r="6" spans="1:7" x14ac:dyDescent="0.3">
      <c r="A6" s="1" t="s">
        <v>10</v>
      </c>
      <c r="B6" t="s">
        <v>30</v>
      </c>
      <c r="C6" t="s">
        <v>46</v>
      </c>
      <c r="D6">
        <v>2</v>
      </c>
      <c r="E6" s="3">
        <v>450000</v>
      </c>
      <c r="F6" t="s">
        <v>51</v>
      </c>
      <c r="G6" s="4">
        <f t="shared" si="0"/>
        <v>900000</v>
      </c>
    </row>
    <row r="7" spans="1:7" x14ac:dyDescent="0.3">
      <c r="A7" s="1" t="s">
        <v>11</v>
      </c>
      <c r="B7" t="s">
        <v>31</v>
      </c>
      <c r="C7" t="s">
        <v>47</v>
      </c>
      <c r="D7">
        <v>3</v>
      </c>
      <c r="E7" s="3">
        <v>120000</v>
      </c>
      <c r="F7" t="s">
        <v>48</v>
      </c>
      <c r="G7" s="4">
        <f t="shared" si="0"/>
        <v>360000</v>
      </c>
    </row>
    <row r="8" spans="1:7" x14ac:dyDescent="0.3">
      <c r="A8" s="1" t="s">
        <v>12</v>
      </c>
      <c r="B8" t="s">
        <v>32</v>
      </c>
      <c r="C8" t="s">
        <v>46</v>
      </c>
      <c r="D8">
        <v>4</v>
      </c>
      <c r="E8" s="3">
        <v>295000</v>
      </c>
      <c r="F8" t="s">
        <v>49</v>
      </c>
      <c r="G8" s="4">
        <f t="shared" si="0"/>
        <v>1180000</v>
      </c>
    </row>
    <row r="9" spans="1:7" x14ac:dyDescent="0.3">
      <c r="A9" s="1" t="s">
        <v>13</v>
      </c>
      <c r="B9" t="s">
        <v>33</v>
      </c>
      <c r="C9" t="s">
        <v>47</v>
      </c>
      <c r="D9">
        <v>1</v>
      </c>
      <c r="E9" s="3">
        <v>385000</v>
      </c>
      <c r="F9" t="s">
        <v>50</v>
      </c>
      <c r="G9" s="4">
        <f t="shared" si="0"/>
        <v>385000</v>
      </c>
    </row>
    <row r="10" spans="1:7" x14ac:dyDescent="0.3">
      <c r="A10" s="1" t="s">
        <v>14</v>
      </c>
      <c r="B10" t="s">
        <v>34</v>
      </c>
      <c r="C10" t="s">
        <v>46</v>
      </c>
      <c r="D10">
        <v>6</v>
      </c>
      <c r="E10" s="3">
        <v>75000</v>
      </c>
      <c r="F10" t="s">
        <v>48</v>
      </c>
      <c r="G10" s="4">
        <f t="shared" si="0"/>
        <v>450000</v>
      </c>
    </row>
    <row r="11" spans="1:7" x14ac:dyDescent="0.3">
      <c r="A11" s="1" t="s">
        <v>15</v>
      </c>
      <c r="B11" t="s">
        <v>35</v>
      </c>
      <c r="C11" t="s">
        <v>47</v>
      </c>
      <c r="D11">
        <v>2</v>
      </c>
      <c r="E11" s="3">
        <v>320000</v>
      </c>
      <c r="F11" t="s">
        <v>51</v>
      </c>
      <c r="G11" s="4">
        <f t="shared" si="0"/>
        <v>640000</v>
      </c>
    </row>
    <row r="12" spans="1:7" x14ac:dyDescent="0.3">
      <c r="A12" s="1" t="s">
        <v>16</v>
      </c>
      <c r="B12" t="s">
        <v>36</v>
      </c>
      <c r="C12" t="s">
        <v>46</v>
      </c>
      <c r="D12">
        <v>3</v>
      </c>
      <c r="E12" s="3">
        <v>185000</v>
      </c>
      <c r="F12" t="s">
        <v>48</v>
      </c>
      <c r="G12" s="4">
        <f t="shared" si="0"/>
        <v>555000</v>
      </c>
    </row>
    <row r="13" spans="1:7" x14ac:dyDescent="0.3">
      <c r="A13" s="1" t="s">
        <v>17</v>
      </c>
      <c r="B13" t="s">
        <v>37</v>
      </c>
      <c r="C13" t="s">
        <v>47</v>
      </c>
      <c r="D13">
        <v>1</v>
      </c>
      <c r="E13" s="3">
        <v>275000</v>
      </c>
      <c r="F13" t="s">
        <v>49</v>
      </c>
      <c r="G13" s="4">
        <f t="shared" si="0"/>
        <v>275000</v>
      </c>
    </row>
    <row r="14" spans="1:7" x14ac:dyDescent="0.3">
      <c r="A14" s="1" t="s">
        <v>18</v>
      </c>
      <c r="B14" t="s">
        <v>38</v>
      </c>
      <c r="C14" t="s">
        <v>46</v>
      </c>
      <c r="D14">
        <v>2</v>
      </c>
      <c r="E14" s="3">
        <v>520000</v>
      </c>
      <c r="F14" t="s">
        <v>50</v>
      </c>
      <c r="G14" s="4">
        <f t="shared" si="0"/>
        <v>1040000</v>
      </c>
    </row>
    <row r="15" spans="1:7" x14ac:dyDescent="0.3">
      <c r="A15" s="1" t="s">
        <v>19</v>
      </c>
      <c r="B15" t="s">
        <v>39</v>
      </c>
      <c r="C15" t="s">
        <v>47</v>
      </c>
      <c r="D15">
        <v>5</v>
      </c>
      <c r="E15" s="3">
        <v>95000</v>
      </c>
      <c r="F15" t="s">
        <v>48</v>
      </c>
      <c r="G15" s="4">
        <f t="shared" si="0"/>
        <v>475000</v>
      </c>
    </row>
    <row r="16" spans="1:7" x14ac:dyDescent="0.3">
      <c r="A16" s="1" t="s">
        <v>20</v>
      </c>
      <c r="B16" t="s">
        <v>40</v>
      </c>
      <c r="C16" t="s">
        <v>46</v>
      </c>
      <c r="D16">
        <v>3</v>
      </c>
      <c r="E16" s="3">
        <v>165000</v>
      </c>
      <c r="F16" t="s">
        <v>51</v>
      </c>
      <c r="G16" s="4">
        <f t="shared" si="0"/>
        <v>495000</v>
      </c>
    </row>
    <row r="17" spans="1:7" x14ac:dyDescent="0.3">
      <c r="A17" s="1" t="s">
        <v>21</v>
      </c>
      <c r="B17" t="s">
        <v>41</v>
      </c>
      <c r="C17" t="s">
        <v>47</v>
      </c>
      <c r="D17">
        <v>1</v>
      </c>
      <c r="E17" s="3">
        <v>1850000</v>
      </c>
      <c r="F17" t="s">
        <v>48</v>
      </c>
      <c r="G17" s="4">
        <f t="shared" si="0"/>
        <v>1850000</v>
      </c>
    </row>
    <row r="18" spans="1:7" x14ac:dyDescent="0.3">
      <c r="A18" s="1" t="s">
        <v>22</v>
      </c>
      <c r="B18" t="s">
        <v>42</v>
      </c>
      <c r="C18" t="s">
        <v>46</v>
      </c>
      <c r="D18">
        <v>4</v>
      </c>
      <c r="E18" s="3">
        <v>125000</v>
      </c>
      <c r="F18" t="s">
        <v>49</v>
      </c>
      <c r="G18" s="4">
        <f t="shared" si="0"/>
        <v>500000</v>
      </c>
    </row>
    <row r="19" spans="1:7" x14ac:dyDescent="0.3">
      <c r="A19" s="1" t="s">
        <v>23</v>
      </c>
      <c r="B19" t="s">
        <v>43</v>
      </c>
      <c r="C19" t="s">
        <v>47</v>
      </c>
      <c r="D19">
        <v>3</v>
      </c>
      <c r="E19" s="3">
        <v>145000</v>
      </c>
      <c r="F19" t="s">
        <v>50</v>
      </c>
      <c r="G19" s="4">
        <f t="shared" si="0"/>
        <v>435000</v>
      </c>
    </row>
    <row r="20" spans="1:7" x14ac:dyDescent="0.3">
      <c r="A20" s="1" t="s">
        <v>24</v>
      </c>
      <c r="B20" t="s">
        <v>44</v>
      </c>
      <c r="C20" t="s">
        <v>46</v>
      </c>
      <c r="D20">
        <v>5</v>
      </c>
      <c r="E20" s="3">
        <v>65000</v>
      </c>
      <c r="F20" t="s">
        <v>48</v>
      </c>
      <c r="G20" s="4">
        <f t="shared" si="0"/>
        <v>325000</v>
      </c>
    </row>
    <row r="21" spans="1:7" x14ac:dyDescent="0.3">
      <c r="A21" s="1" t="s">
        <v>25</v>
      </c>
      <c r="B21" t="s">
        <v>45</v>
      </c>
      <c r="C21" t="s">
        <v>47</v>
      </c>
      <c r="D21">
        <v>2</v>
      </c>
      <c r="E21" s="3">
        <v>430000</v>
      </c>
      <c r="F21" t="s">
        <v>51</v>
      </c>
      <c r="G21" s="4">
        <f t="shared" si="0"/>
        <v>860000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866E-782C-4DA3-86F4-C0E40BBAD529}">
  <dimension ref="A1:C19"/>
  <sheetViews>
    <sheetView workbookViewId="0">
      <selection activeCell="C19" sqref="C19"/>
    </sheetView>
  </sheetViews>
  <sheetFormatPr defaultRowHeight="14.4" x14ac:dyDescent="0.3"/>
  <cols>
    <col min="1" max="1" width="35.44140625" customWidth="1"/>
    <col min="2" max="2" width="17.33203125" customWidth="1"/>
    <col min="3" max="3" width="18.44140625" customWidth="1"/>
  </cols>
  <sheetData>
    <row r="1" spans="1:3" x14ac:dyDescent="0.3">
      <c r="A1" t="s">
        <v>53</v>
      </c>
    </row>
    <row r="3" spans="1:3" x14ac:dyDescent="0.3">
      <c r="A3" t="s">
        <v>54</v>
      </c>
      <c r="B3" s="3">
        <f>SUM('Data Penjualan'!G2:G21)</f>
        <v>12800000</v>
      </c>
    </row>
    <row r="4" spans="1:3" x14ac:dyDescent="0.3">
      <c r="A4" t="s">
        <v>55</v>
      </c>
      <c r="B4" s="5">
        <f>COUNTA('Data Penjualan'!A2:A21)</f>
        <v>20</v>
      </c>
    </row>
    <row r="5" spans="1:3" x14ac:dyDescent="0.3">
      <c r="A5" t="s">
        <v>56</v>
      </c>
      <c r="B5" s="3">
        <f>AVERAGE('Data Penjualan'!G2:G21)</f>
        <v>640000</v>
      </c>
    </row>
    <row r="6" spans="1:3" x14ac:dyDescent="0.3">
      <c r="A6" t="s">
        <v>57</v>
      </c>
      <c r="B6" s="3">
        <f>MAX('Data Penjualan'!G2:G21)</f>
        <v>1850000</v>
      </c>
    </row>
    <row r="7" spans="1:3" x14ac:dyDescent="0.3">
      <c r="A7" t="s">
        <v>58</v>
      </c>
      <c r="B7" s="3">
        <f>MIN('Data Penjualan'!G2:G21)</f>
        <v>250000</v>
      </c>
    </row>
    <row r="9" spans="1:3" x14ac:dyDescent="0.3">
      <c r="A9" t="s">
        <v>59</v>
      </c>
    </row>
    <row r="10" spans="1:3" x14ac:dyDescent="0.3">
      <c r="A10" t="s">
        <v>2</v>
      </c>
      <c r="B10" t="s">
        <v>54</v>
      </c>
      <c r="C10" t="s">
        <v>60</v>
      </c>
    </row>
    <row r="11" spans="1:3" x14ac:dyDescent="0.3">
      <c r="A11" t="s">
        <v>46</v>
      </c>
      <c r="B11" s="4">
        <f>SUMIF('Data Penjualan'!C2:C21,"Fashion",'Data Penjualan'!G2:G21)</f>
        <v>6920000</v>
      </c>
      <c r="C11">
        <f>COUNTIF('Data Penjualan'!C2:C21,"Fashion")</f>
        <v>10</v>
      </c>
    </row>
    <row r="12" spans="1:3" x14ac:dyDescent="0.3">
      <c r="A12" t="s">
        <v>47</v>
      </c>
      <c r="B12" s="4">
        <f>SUMIF('Data Penjualan'!C2:C21,"Elektronik",'Data Penjualan'!G2:G21)</f>
        <v>5880000</v>
      </c>
      <c r="C12">
        <f>COUNTIF('Data Penjualan'!C2:C21,"Elektronik")</f>
        <v>10</v>
      </c>
    </row>
    <row r="14" spans="1:3" x14ac:dyDescent="0.3">
      <c r="A14" t="s">
        <v>61</v>
      </c>
    </row>
    <row r="15" spans="1:3" x14ac:dyDescent="0.3">
      <c r="A15" t="s">
        <v>5</v>
      </c>
      <c r="B15" t="s">
        <v>54</v>
      </c>
    </row>
    <row r="16" spans="1:3" x14ac:dyDescent="0.3">
      <c r="A16" t="s">
        <v>48</v>
      </c>
      <c r="B16" s="4">
        <f>SUMIF('Data Penjualan'!F2:F21,"Jakarta",'Data Penjualan'!G2:G21)</f>
        <v>5415000</v>
      </c>
    </row>
    <row r="17" spans="1:2" x14ac:dyDescent="0.3">
      <c r="A17" t="s">
        <v>49</v>
      </c>
      <c r="B17" s="4">
        <f>SUMIF('Data Penjualan'!F2:F21,"Bandung",'Data Penjualan'!G2:G21)</f>
        <v>2205000</v>
      </c>
    </row>
    <row r="18" spans="1:2" x14ac:dyDescent="0.3">
      <c r="A18" t="s">
        <v>50</v>
      </c>
      <c r="B18" s="4">
        <f>SUMIF('Data Penjualan'!F2:F21,"Surabaya",'Data Penjualan'!G2:G21)</f>
        <v>2285000</v>
      </c>
    </row>
    <row r="19" spans="1:2" x14ac:dyDescent="0.3">
      <c r="A19" t="s">
        <v>51</v>
      </c>
      <c r="B19" s="4">
        <f>SUMIF('Data Penjualan'!F2:F21,"Medan",'Data Penjualan'!G2:G21)</f>
        <v>2895000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 Penjualan</vt:lpstr>
      <vt:lpstr>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asus-RANRCX05C125449@outlook.com</dc:creator>
  <cp:lastModifiedBy>asus-RANRCX05C125449@outlook.com</cp:lastModifiedBy>
  <dcterms:created xsi:type="dcterms:W3CDTF">2026-04-27T13:10:18Z</dcterms:created>
  <dcterms:modified xsi:type="dcterms:W3CDTF">2026-05-03T12:23:31Z</dcterms:modified>
</cp:coreProperties>
</file>